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Aid\zia sir\"/>
    </mc:Choice>
  </mc:AlternateContent>
  <xr:revisionPtr revIDLastSave="0" documentId="8_{0766DD17-968B-4121-92AB-040E0FEE5B65}" xr6:coauthVersionLast="47" xr6:coauthVersionMax="47" xr10:uidLastSave="{00000000-0000-0000-0000-000000000000}"/>
  <bookViews>
    <workbookView xWindow="-110" yWindow="-110" windowWidth="19420" windowHeight="10420" xr2:uid="{EED261DA-B4DC-4537-AE5F-9C8B1D53D073}"/>
  </bookViews>
  <sheets>
    <sheet name="Revenue A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2" l="1"/>
  <c r="D2" i="2"/>
  <c r="E2" i="2" s="1"/>
  <c r="F2" i="2" s="1"/>
  <c r="G2" i="2" s="1"/>
  <c r="H2" i="2" s="1"/>
  <c r="I2" i="2" s="1"/>
  <c r="J2" i="2" s="1"/>
  <c r="K2" i="2" s="1"/>
  <c r="L2" i="2" s="1"/>
  <c r="M2" i="2" s="1"/>
  <c r="N2" i="2" s="1"/>
</calcChain>
</file>

<file path=xl/sharedStrings.xml><?xml version="1.0" encoding="utf-8"?>
<sst xmlns="http://schemas.openxmlformats.org/spreadsheetml/2006/main" count="33" uniqueCount="32">
  <si>
    <t>Operating Profit (from Rev A/c)</t>
  </si>
  <si>
    <t>Investment Income (Non-Life Fund)</t>
  </si>
  <si>
    <t>Other Income</t>
  </si>
  <si>
    <t>Total Gross Profit</t>
  </si>
  <si>
    <t>EXPENSES</t>
  </si>
  <si>
    <t>Director Fees &amp; Audit Fees</t>
  </si>
  <si>
    <t>Depreciation</t>
  </si>
  <si>
    <t>Registration/Legal Fees</t>
  </si>
  <si>
    <t>Total Non-Op Expenses</t>
  </si>
  <si>
    <t>Net Profit Before Tax</t>
  </si>
  <si>
    <t>Income Tax Provision</t>
  </si>
  <si>
    <t>Net Profit After Tax</t>
  </si>
  <si>
    <t>INCOME</t>
  </si>
  <si>
    <t>Total Income (A)</t>
  </si>
  <si>
    <t>EXPENDITURE</t>
  </si>
  <si>
    <t>Claims Paid (Gross)</t>
  </si>
  <si>
    <t>Less: Reinsurance Recovery</t>
  </si>
  <si>
    <t>Net Claims</t>
  </si>
  <si>
    <t>Commission to Agents</t>
  </si>
  <si>
    <t>Management Expenses</t>
  </si>
  <si>
    <t>Total Expenditure (B)</t>
  </si>
  <si>
    <t>Underwriting Profit/Loss</t>
  </si>
  <si>
    <t xml:space="preserve">Description </t>
  </si>
  <si>
    <t>Revenue Account</t>
  </si>
  <si>
    <t>Profit &amp; Loss Account</t>
  </si>
  <si>
    <t>Total</t>
  </si>
  <si>
    <t>Less:Accroud commission</t>
  </si>
  <si>
    <t>Value Service / Charge</t>
  </si>
  <si>
    <t>VAT/TAX</t>
  </si>
  <si>
    <t>Net income</t>
  </si>
  <si>
    <t>Insurance Premium</t>
  </si>
  <si>
    <t>Platform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</si>
</sst>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/yy;@"/>
  </numFmts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0" fontId="3" fillId="3" borderId="1" xfId="0" applyFont="1" applyFill="1" applyBorder="1" applyAlignment="1">
      <alignment horizontal="left" vertical="center" wrapText="1" indent="1" readingOrder="1"/>
    </xf>
    <xf numFmtId="43" fontId="1" fillId="2" borderId="1" xfId="1" applyFont="1" applyFill="1" applyBorder="1" applyAlignment="1">
      <alignment horizontal="left" vertical="center" wrapText="1" inden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621A-5BE8-4FA5-A607-8CE26FCFF24C}">
  <dimension ref="A1:O37"/>
  <sheetViews>
    <sheetView tabSelected="1" workbookViewId="0">
      <selection activeCell="A9" sqref="A9"/>
    </sheetView>
  </sheetViews>
  <sheetFormatPr defaultRowHeight="14.5" x14ac:dyDescent="0.35"/>
  <cols>
    <col min="1" max="1" width="37.81640625" customWidth="1"/>
    <col min="2" max="2" width="17.81640625" customWidth="1"/>
    <col min="3" max="14" width="14.54296875" customWidth="1"/>
    <col min="15" max="17" width="15.6328125" customWidth="1"/>
  </cols>
  <sheetData>
    <row r="1" spans="1:15" ht="15" thickBot="1" x14ac:dyDescent="0.4">
      <c r="A1" s="5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5" ht="25.25" customHeight="1" thickBot="1" x14ac:dyDescent="0.4">
      <c r="A2" s="1" t="s">
        <v>22</v>
      </c>
      <c r="B2" s="1"/>
      <c r="C2" s="4">
        <v>46113</v>
      </c>
      <c r="D2" s="4">
        <f>C2+31</f>
        <v>46144</v>
      </c>
      <c r="E2" s="4">
        <f t="shared" ref="E2:N2" si="0">D2+31</f>
        <v>46175</v>
      </c>
      <c r="F2" s="4">
        <f t="shared" si="0"/>
        <v>46206</v>
      </c>
      <c r="G2" s="4">
        <f t="shared" si="0"/>
        <v>46237</v>
      </c>
      <c r="H2" s="4">
        <f t="shared" si="0"/>
        <v>46268</v>
      </c>
      <c r="I2" s="4">
        <f t="shared" si="0"/>
        <v>46299</v>
      </c>
      <c r="J2" s="4">
        <f t="shared" si="0"/>
        <v>46330</v>
      </c>
      <c r="K2" s="4">
        <f t="shared" si="0"/>
        <v>46361</v>
      </c>
      <c r="L2" s="4">
        <f t="shared" si="0"/>
        <v>46392</v>
      </c>
      <c r="M2" s="4">
        <f t="shared" si="0"/>
        <v>46423</v>
      </c>
      <c r="N2" s="4">
        <f t="shared" si="0"/>
        <v>46454</v>
      </c>
      <c r="O2" s="4" t="s">
        <v>25</v>
      </c>
    </row>
    <row r="3" spans="1:15" ht="15" thickBot="1" x14ac:dyDescent="0.4">
      <c r="A3" s="1" t="s">
        <v>12</v>
      </c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5" thickBot="1" x14ac:dyDescent="0.4">
      <c r="A4" s="7" t="s">
        <v>30</v>
      </c>
      <c r="B4" s="9">
        <v>10000</v>
      </c>
      <c r="C4" s="2">
        <v>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5" thickBot="1" x14ac:dyDescent="0.4">
      <c r="A5" s="7" t="s">
        <v>27</v>
      </c>
      <c r="B5" s="9">
        <v>2000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5" ht="15" thickBot="1" x14ac:dyDescent="0.4">
      <c r="A6" s="7" t="s">
        <v>28</v>
      </c>
      <c r="B6" s="9">
        <v>500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5" ht="15" thickBot="1" x14ac:dyDescent="0.4">
      <c r="A7" s="8" t="s">
        <v>26</v>
      </c>
      <c r="B7" s="9">
        <v>1000</v>
      </c>
      <c r="C7" s="2">
        <v>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5" ht="15" thickBot="1" x14ac:dyDescent="0.4">
      <c r="A8" s="8" t="s">
        <v>31</v>
      </c>
      <c r="B8" s="9"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5" ht="15" thickBot="1" x14ac:dyDescent="0.4">
      <c r="A9" s="1" t="s">
        <v>29</v>
      </c>
      <c r="B9" s="9">
        <f>B5+B7</f>
        <v>3000</v>
      </c>
      <c r="C9" s="1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thickBot="1" x14ac:dyDescent="0.4">
      <c r="A10" s="2" t="s">
        <v>2</v>
      </c>
      <c r="B10" s="9"/>
      <c r="C10" s="2">
        <v>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5" ht="15" thickBot="1" x14ac:dyDescent="0.4">
      <c r="A11" s="1" t="s">
        <v>13</v>
      </c>
      <c r="B11" s="9"/>
      <c r="C11" s="1"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thickBot="1" x14ac:dyDescent="0.4">
      <c r="A12" s="2"/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5" ht="15" hidden="1" thickBot="1" x14ac:dyDescent="0.4">
      <c r="A13" s="1" t="s">
        <v>14</v>
      </c>
      <c r="B13" s="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5" ht="15" hidden="1" thickBot="1" x14ac:dyDescent="0.4">
      <c r="A14" s="2" t="s">
        <v>15</v>
      </c>
      <c r="B14" s="9"/>
      <c r="C14" s="2">
        <v>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5" ht="15" hidden="1" thickBot="1" x14ac:dyDescent="0.4">
      <c r="A15" s="3" t="s">
        <v>16</v>
      </c>
      <c r="B15" s="3"/>
      <c r="C15" s="2">
        <v>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5" ht="15" hidden="1" thickBot="1" x14ac:dyDescent="0.4">
      <c r="A16" s="1" t="s">
        <v>17</v>
      </c>
      <c r="B16" s="1"/>
      <c r="C16" s="1">
        <v>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" hidden="1" thickBot="1" x14ac:dyDescent="0.4">
      <c r="A17" s="2" t="s">
        <v>18</v>
      </c>
      <c r="B17" s="2"/>
      <c r="C17" s="2">
        <v>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5" hidden="1" thickBot="1" x14ac:dyDescent="0.4">
      <c r="A18" s="2" t="s">
        <v>19</v>
      </c>
      <c r="B18" s="2"/>
      <c r="C18" s="2">
        <v>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5" hidden="1" thickBot="1" x14ac:dyDescent="0.4">
      <c r="A19" s="1" t="s">
        <v>20</v>
      </c>
      <c r="B19" s="1"/>
      <c r="C19" s="1">
        <v>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" thickBot="1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5" thickBot="1" x14ac:dyDescent="0.4">
      <c r="A21" s="1" t="s">
        <v>21</v>
      </c>
      <c r="B21" s="1"/>
      <c r="C21" s="1">
        <v>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" thickBot="1" x14ac:dyDescent="0.4"/>
    <row r="23" spans="1:14" ht="15" thickBot="1" x14ac:dyDescent="0.4">
      <c r="A23" s="5" t="s">
        <v>24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15" thickBot="1" x14ac:dyDescent="0.4">
      <c r="A24" s="1" t="s">
        <v>0</v>
      </c>
      <c r="B24" s="1"/>
      <c r="C24" s="2">
        <v>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5" thickBot="1" x14ac:dyDescent="0.4">
      <c r="A25" s="2" t="s">
        <v>1</v>
      </c>
      <c r="B25" s="2"/>
      <c r="C25" s="2">
        <v>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5" thickBot="1" x14ac:dyDescent="0.4">
      <c r="A26" s="2" t="s">
        <v>2</v>
      </c>
      <c r="B26" s="2"/>
      <c r="C26" s="2">
        <v>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5" thickBot="1" x14ac:dyDescent="0.4">
      <c r="A27" s="1" t="s">
        <v>3</v>
      </c>
      <c r="B27" s="1"/>
      <c r="C27" s="1">
        <v>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5" thickBot="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5" thickBot="1" x14ac:dyDescent="0.4">
      <c r="A29" s="1" t="s">
        <v>4</v>
      </c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5" thickBot="1" x14ac:dyDescent="0.4">
      <c r="A30" s="2" t="s">
        <v>5</v>
      </c>
      <c r="B30" s="2"/>
      <c r="C30" s="2">
        <v>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5" thickBot="1" x14ac:dyDescent="0.4">
      <c r="A31" s="2" t="s">
        <v>6</v>
      </c>
      <c r="B31" s="2"/>
      <c r="C31" s="2">
        <v>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5" thickBot="1" x14ac:dyDescent="0.4">
      <c r="A32" s="2" t="s">
        <v>7</v>
      </c>
      <c r="B32" s="2"/>
      <c r="C32" s="2">
        <v>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5" thickBot="1" x14ac:dyDescent="0.4">
      <c r="A33" s="1" t="s">
        <v>8</v>
      </c>
      <c r="B33" s="1"/>
      <c r="C33" s="1">
        <v>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thickBot="1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5" thickBot="1" x14ac:dyDescent="0.4">
      <c r="A35" s="1" t="s">
        <v>9</v>
      </c>
      <c r="B35" s="1"/>
      <c r="C35" s="1">
        <v>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thickBot="1" x14ac:dyDescent="0.4">
      <c r="A36" s="2" t="s">
        <v>10</v>
      </c>
      <c r="B36" s="2"/>
      <c r="C36" s="2">
        <v>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5" thickBot="1" x14ac:dyDescent="0.4">
      <c r="A37" s="1" t="s">
        <v>11</v>
      </c>
      <c r="B37" s="1"/>
      <c r="C37" s="1">
        <v>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</sheetData>
  <mergeCells count="2">
    <mergeCell ref="A1:N1"/>
    <mergeCell ref="A23:N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Shamsul Huda</cp:lastModifiedBy>
  <dcterms:created xsi:type="dcterms:W3CDTF">2026-01-18T05:01:05Z</dcterms:created>
  <dcterms:modified xsi:type="dcterms:W3CDTF">2026-02-14T05:39:22Z</dcterms:modified>
</cp:coreProperties>
</file>