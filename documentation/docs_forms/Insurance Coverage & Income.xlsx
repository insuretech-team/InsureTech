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RT-04.10.2025\Zia Sir- 03.12.2025\"/>
    </mc:Choice>
  </mc:AlternateContent>
  <xr:revisionPtr revIDLastSave="0" documentId="13_ncr:1_{B92C622E-C122-43A9-9A80-F788D993EDDA}" xr6:coauthVersionLast="47" xr6:coauthVersionMax="47" xr10:uidLastSave="{00000000-0000-0000-0000-000000000000}"/>
  <bookViews>
    <workbookView xWindow="-108" yWindow="-108" windowWidth="23256" windowHeight="12456" xr2:uid="{A0E86620-D16E-4E28-BB54-A034279E2EAC}"/>
  </bookViews>
  <sheets>
    <sheet name="Sheet2" sheetId="2" r:id="rId1"/>
    <sheet name="Alpha Force" sheetId="3" r:id="rId2"/>
    <sheet name="Prime Shine" sheetId="4" r:id="rId3"/>
  </sheets>
  <definedNames>
    <definedName name="_xlnm.Print_Area" localSheetId="1">'Alpha Force'!$A$1:$H$28</definedName>
    <definedName name="_xlnm.Print_Area" localSheetId="2">'Prime Shine'!$A$1:$H$28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3" l="1"/>
  <c r="H3" i="4"/>
  <c r="H18" i="4" l="1"/>
  <c r="D18" i="4"/>
  <c r="H17" i="4"/>
  <c r="D17" i="4"/>
  <c r="D14" i="4"/>
  <c r="H8" i="4"/>
  <c r="D8" i="4"/>
  <c r="D16" i="4" s="1"/>
  <c r="D7" i="4"/>
  <c r="D15" i="4" s="1"/>
  <c r="H6" i="4"/>
  <c r="H7" i="4" s="1"/>
  <c r="H15" i="4" s="1"/>
  <c r="H6" i="3"/>
  <c r="H14" i="3" s="1"/>
  <c r="H18" i="3"/>
  <c r="H17" i="3"/>
  <c r="D18" i="3"/>
  <c r="D17" i="3"/>
  <c r="D14" i="3"/>
  <c r="D8" i="3"/>
  <c r="D7" i="3"/>
  <c r="D15" i="3" s="1"/>
  <c r="L5" i="2"/>
  <c r="L4" i="2"/>
  <c r="L3" i="2"/>
  <c r="K6" i="2"/>
  <c r="L6" i="2" s="1"/>
  <c r="J5" i="2"/>
  <c r="J4" i="2"/>
  <c r="J3" i="2"/>
  <c r="D16" i="2"/>
  <c r="D8" i="2"/>
  <c r="D18" i="2" s="1"/>
  <c r="D7" i="2"/>
  <c r="D17" i="2" s="1"/>
  <c r="H21" i="4" l="1"/>
  <c r="D19" i="4"/>
  <c r="D21" i="4"/>
  <c r="D11" i="4"/>
  <c r="H11" i="4"/>
  <c r="H16" i="4"/>
  <c r="H14" i="4"/>
  <c r="H7" i="3"/>
  <c r="H15" i="3" s="1"/>
  <c r="H8" i="3"/>
  <c r="H16" i="3" s="1"/>
  <c r="H11" i="3"/>
  <c r="D16" i="3"/>
  <c r="D21" i="3" s="1"/>
  <c r="D11" i="3"/>
  <c r="J6" i="2"/>
  <c r="K12" i="2"/>
  <c r="N12" i="2" s="1"/>
  <c r="K11" i="2"/>
  <c r="N11" i="2" s="1"/>
  <c r="K10" i="2"/>
  <c r="D20" i="2"/>
  <c r="D29" i="2" s="1"/>
  <c r="D11" i="2"/>
  <c r="H19" i="4" l="1"/>
  <c r="H19" i="3"/>
  <c r="H21" i="3"/>
  <c r="D19" i="3"/>
  <c r="N10" i="2"/>
  <c r="K13" i="2"/>
  <c r="D32" i="2"/>
  <c r="D13" i="2"/>
  <c r="D12" i="2"/>
  <c r="E29" i="2"/>
  <c r="E32" i="2"/>
</calcChain>
</file>

<file path=xl/sharedStrings.xml><?xml version="1.0" encoding="utf-8"?>
<sst xmlns="http://schemas.openxmlformats.org/spreadsheetml/2006/main" count="102" uniqueCount="38">
  <si>
    <t># Policy</t>
  </si>
  <si>
    <t># Gross Premium</t>
  </si>
  <si>
    <t>Premium</t>
  </si>
  <si>
    <t>VAS (Life Plus S)</t>
  </si>
  <si>
    <t>Total</t>
  </si>
  <si>
    <t>VAT</t>
  </si>
  <si>
    <t># Income (LIT)</t>
  </si>
  <si>
    <t>Platform Charge</t>
  </si>
  <si>
    <t>Total Income</t>
  </si>
  <si>
    <t>Salary</t>
  </si>
  <si>
    <t>Commission</t>
  </si>
  <si>
    <t>Rent</t>
  </si>
  <si>
    <t>Shared Service</t>
  </si>
  <si>
    <t>TAX / VAT</t>
  </si>
  <si>
    <t>Total Expenses</t>
  </si>
  <si>
    <t>Net Income</t>
  </si>
  <si>
    <t>Hi</t>
  </si>
  <si>
    <t>Lo</t>
  </si>
  <si>
    <t>Opex</t>
  </si>
  <si>
    <t>Capex</t>
  </si>
  <si>
    <t>IT Dev</t>
  </si>
  <si>
    <t>Branding</t>
  </si>
  <si>
    <t>Licensing</t>
  </si>
  <si>
    <t>Q1</t>
  </si>
  <si>
    <t>Q2</t>
  </si>
  <si>
    <t>Q3</t>
  </si>
  <si>
    <t>Q4</t>
  </si>
  <si>
    <t>B2B</t>
  </si>
  <si>
    <t>B2D</t>
  </si>
  <si>
    <t>B2C</t>
  </si>
  <si>
    <t>Others / MC</t>
  </si>
  <si>
    <t>Commission on Premium</t>
  </si>
  <si>
    <t>VAS Income from LPB</t>
  </si>
  <si>
    <t># No. of Policy Life</t>
  </si>
  <si>
    <t># Income (LICL)</t>
  </si>
  <si>
    <t>VAS Income for LPB</t>
  </si>
  <si>
    <t>Alpha Force</t>
  </si>
  <si>
    <t>Prime Shine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</si>
</sst>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u val="singleAccounting"/>
      <sz val="12"/>
      <color theme="1"/>
      <name val="Times New Roman"/>
      <family val="1"/>
    </font>
    <font>
      <u val="singleAccounting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1" fillId="0" borderId="1" xfId="1" applyNumberFormat="1" applyFont="1" applyBorder="1" applyAlignment="1">
      <alignment horizontal="center" vertical="center"/>
    </xf>
    <xf numFmtId="9" fontId="0" fillId="0" borderId="0" xfId="0" applyNumberFormat="1"/>
    <xf numFmtId="43" fontId="0" fillId="0" borderId="0" xfId="1" applyFont="1"/>
    <xf numFmtId="164" fontId="0" fillId="0" borderId="0" xfId="1" applyNumberFormat="1" applyFont="1"/>
    <xf numFmtId="9" fontId="0" fillId="0" borderId="0" xfId="2" applyFont="1"/>
    <xf numFmtId="0" fontId="5" fillId="0" borderId="0" xfId="0" applyFont="1"/>
    <xf numFmtId="0" fontId="5" fillId="0" borderId="3" xfId="0" applyFont="1" applyBorder="1"/>
    <xf numFmtId="0" fontId="5" fillId="0" borderId="4" xfId="0" applyFont="1" applyBorder="1"/>
    <xf numFmtId="164" fontId="5" fillId="0" borderId="5" xfId="1" applyNumberFormat="1" applyFont="1" applyBorder="1"/>
    <xf numFmtId="9" fontId="5" fillId="0" borderId="4" xfId="0" applyNumberFormat="1" applyFont="1" applyBorder="1"/>
    <xf numFmtId="43" fontId="5" fillId="0" borderId="0" xfId="1" applyFont="1"/>
    <xf numFmtId="0" fontId="5" fillId="0" borderId="2" xfId="0" applyFont="1" applyBorder="1"/>
    <xf numFmtId="164" fontId="5" fillId="0" borderId="1" xfId="1" applyNumberFormat="1" applyFont="1" applyBorder="1"/>
    <xf numFmtId="0" fontId="1" fillId="0" borderId="0" xfId="0" applyFont="1" applyAlignment="1">
      <alignment horizontal="left" vertical="center"/>
    </xf>
    <xf numFmtId="164" fontId="1" fillId="0" borderId="0" xfId="1" applyNumberFormat="1" applyFont="1" applyAlignment="1">
      <alignment horizontal="center" vertical="center"/>
    </xf>
    <xf numFmtId="43" fontId="1" fillId="0" borderId="0" xfId="1" applyFont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64" fontId="6" fillId="0" borderId="1" xfId="1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164" fontId="7" fillId="0" borderId="9" xfId="1" applyNumberFormat="1" applyFont="1" applyBorder="1" applyAlignment="1">
      <alignment horizontal="center" vertical="center"/>
    </xf>
    <xf numFmtId="43" fontId="6" fillId="0" borderId="0" xfId="1" applyFont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9" fontId="1" fillId="0" borderId="0" xfId="2" applyFont="1" applyAlignment="1">
      <alignment horizontal="center" vertical="center"/>
    </xf>
    <xf numFmtId="164" fontId="8" fillId="0" borderId="1" xfId="1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FB1F6-4551-486C-ABB7-F3CE7021A00D}">
  <dimension ref="B1:N37"/>
  <sheetViews>
    <sheetView tabSelected="1" zoomScaleNormal="100" workbookViewId="0">
      <selection activeCell="G22" sqref="G22"/>
    </sheetView>
  </sheetViews>
  <sheetFormatPr defaultRowHeight="14.4" x14ac:dyDescent="0.3"/>
  <cols>
    <col min="1" max="1" width="5.77734375" customWidth="1"/>
    <col min="2" max="2" width="15.77734375" bestFit="1" customWidth="1"/>
    <col min="4" max="4" width="14.109375" style="7" bestFit="1" customWidth="1"/>
    <col min="5" max="5" width="5.77734375" customWidth="1"/>
    <col min="6" max="6" width="8.77734375" style="6" customWidth="1"/>
    <col min="7" max="7" width="8.77734375" customWidth="1"/>
    <col min="10" max="10" width="8.88671875" style="7"/>
  </cols>
  <sheetData>
    <row r="1" spans="2:14" ht="15" thickBot="1" x14ac:dyDescent="0.35"/>
    <row r="2" spans="2:14" ht="15" thickBot="1" x14ac:dyDescent="0.35">
      <c r="B2" s="10" t="s">
        <v>0</v>
      </c>
      <c r="C2" s="11" t="s">
        <v>16</v>
      </c>
      <c r="D2" s="12">
        <v>70000</v>
      </c>
      <c r="H2" t="s">
        <v>23</v>
      </c>
      <c r="I2">
        <v>0</v>
      </c>
      <c r="J2" s="7">
        <v>0</v>
      </c>
    </row>
    <row r="3" spans="2:14" ht="15" thickBot="1" x14ac:dyDescent="0.35">
      <c r="B3" s="10" t="s">
        <v>0</v>
      </c>
      <c r="C3" s="11" t="s">
        <v>17</v>
      </c>
      <c r="D3" s="12">
        <v>40000</v>
      </c>
      <c r="H3" t="s">
        <v>24</v>
      </c>
      <c r="I3" s="5">
        <v>0.2</v>
      </c>
      <c r="J3" s="7">
        <f>D2*0.2</f>
        <v>14000</v>
      </c>
      <c r="K3">
        <v>12000</v>
      </c>
      <c r="L3">
        <f>K3/3</f>
        <v>4000</v>
      </c>
    </row>
    <row r="4" spans="2:14" ht="15" thickBot="1" x14ac:dyDescent="0.35">
      <c r="H4" t="s">
        <v>25</v>
      </c>
      <c r="I4" s="5">
        <v>0.3</v>
      </c>
      <c r="J4" s="7">
        <f>D2*0.3</f>
        <v>21000</v>
      </c>
      <c r="K4">
        <v>24000</v>
      </c>
      <c r="L4">
        <f>K4/3</f>
        <v>8000</v>
      </c>
    </row>
    <row r="5" spans="2:14" ht="15" thickBot="1" x14ac:dyDescent="0.35">
      <c r="B5" s="15" t="s">
        <v>1</v>
      </c>
      <c r="H5" t="s">
        <v>26</v>
      </c>
      <c r="I5" s="5">
        <v>0.5</v>
      </c>
      <c r="J5" s="7">
        <f>D2*0.5</f>
        <v>35000</v>
      </c>
      <c r="K5">
        <v>36000</v>
      </c>
      <c r="L5">
        <f>K5/3</f>
        <v>12000</v>
      </c>
    </row>
    <row r="6" spans="2:14" x14ac:dyDescent="0.3">
      <c r="B6" t="s">
        <v>2</v>
      </c>
      <c r="D6" s="16">
        <v>550</v>
      </c>
      <c r="H6" t="s">
        <v>4</v>
      </c>
      <c r="I6" s="5">
        <v>1</v>
      </c>
      <c r="J6" s="7">
        <f>SUM(J2:J5)</f>
        <v>70000</v>
      </c>
      <c r="K6">
        <f>SUM(K3:K5)</f>
        <v>72000</v>
      </c>
      <c r="L6">
        <f>K6/12</f>
        <v>6000</v>
      </c>
    </row>
    <row r="7" spans="2:14" x14ac:dyDescent="0.3">
      <c r="B7" t="s">
        <v>7</v>
      </c>
      <c r="C7" s="5">
        <v>0.2</v>
      </c>
      <c r="D7" s="7">
        <f>D6*0.2</f>
        <v>110</v>
      </c>
    </row>
    <row r="8" spans="2:14" x14ac:dyDescent="0.3">
      <c r="B8" t="s">
        <v>3</v>
      </c>
      <c r="C8" s="5">
        <v>0.25</v>
      </c>
      <c r="D8" s="7">
        <f>D6*0.25</f>
        <v>137.5</v>
      </c>
    </row>
    <row r="9" spans="2:14" x14ac:dyDescent="0.3">
      <c r="B9" t="s">
        <v>30</v>
      </c>
      <c r="C9" s="5"/>
      <c r="D9" s="7">
        <v>52</v>
      </c>
    </row>
    <row r="10" spans="2:14" ht="15" thickBot="1" x14ac:dyDescent="0.35">
      <c r="B10" t="s">
        <v>5</v>
      </c>
      <c r="C10" s="5">
        <v>0.15</v>
      </c>
      <c r="D10" s="7">
        <v>0</v>
      </c>
      <c r="H10" t="s">
        <v>27</v>
      </c>
      <c r="I10" s="5">
        <v>0.5</v>
      </c>
      <c r="K10">
        <f>L6*0.5</f>
        <v>3000</v>
      </c>
      <c r="M10" s="5">
        <v>0.25</v>
      </c>
      <c r="N10">
        <f>K10*4</f>
        <v>12000</v>
      </c>
    </row>
    <row r="11" spans="2:14" ht="15" thickBot="1" x14ac:dyDescent="0.35">
      <c r="B11" s="10" t="s">
        <v>4</v>
      </c>
      <c r="C11" s="11"/>
      <c r="D11" s="12">
        <f>SUM(D6:D10)</f>
        <v>849.5</v>
      </c>
      <c r="H11" t="s">
        <v>28</v>
      </c>
      <c r="I11" s="5">
        <v>0.3</v>
      </c>
      <c r="K11">
        <f>L6*0.3</f>
        <v>1800</v>
      </c>
      <c r="M11" s="5">
        <v>0.1</v>
      </c>
      <c r="N11">
        <f>K11*10</f>
        <v>18000</v>
      </c>
    </row>
    <row r="12" spans="2:14" x14ac:dyDescent="0.3">
      <c r="B12" s="9"/>
      <c r="C12" s="9"/>
      <c r="D12" s="14">
        <f>D2*D11</f>
        <v>59465000</v>
      </c>
      <c r="H12" t="s">
        <v>29</v>
      </c>
      <c r="I12" s="5">
        <v>0.2</v>
      </c>
      <c r="K12">
        <f>L6*0.2</f>
        <v>1200</v>
      </c>
      <c r="M12" s="5">
        <v>0.1</v>
      </c>
      <c r="N12">
        <f>K12*10</f>
        <v>12000</v>
      </c>
    </row>
    <row r="13" spans="2:14" x14ac:dyDescent="0.3">
      <c r="D13" s="14">
        <f>D3*D11</f>
        <v>33980000</v>
      </c>
      <c r="K13">
        <f>SUM(K10:K12)</f>
        <v>6000</v>
      </c>
    </row>
    <row r="14" spans="2:14" ht="15" thickBot="1" x14ac:dyDescent="0.35">
      <c r="D14" s="14"/>
    </row>
    <row r="15" spans="2:14" ht="15" thickBot="1" x14ac:dyDescent="0.35">
      <c r="B15" s="15" t="s">
        <v>6</v>
      </c>
    </row>
    <row r="16" spans="2:14" x14ac:dyDescent="0.3">
      <c r="B16" t="s">
        <v>2</v>
      </c>
      <c r="C16" s="5">
        <v>0.15</v>
      </c>
      <c r="D16" s="7">
        <f>D6*0.15</f>
        <v>82.5</v>
      </c>
    </row>
    <row r="17" spans="2:5" x14ac:dyDescent="0.3">
      <c r="B17" t="s">
        <v>7</v>
      </c>
      <c r="C17" s="5">
        <v>1</v>
      </c>
      <c r="D17" s="7">
        <f>D7</f>
        <v>110</v>
      </c>
    </row>
    <row r="18" spans="2:5" x14ac:dyDescent="0.3">
      <c r="B18" t="s">
        <v>3</v>
      </c>
      <c r="C18" s="5">
        <v>0.2</v>
      </c>
      <c r="D18" s="7">
        <f>D8*0.2</f>
        <v>27.5</v>
      </c>
    </row>
    <row r="19" spans="2:5" ht="15" thickBot="1" x14ac:dyDescent="0.35"/>
    <row r="20" spans="2:5" ht="15" thickBot="1" x14ac:dyDescent="0.35">
      <c r="B20" s="10" t="s">
        <v>8</v>
      </c>
      <c r="C20" s="11"/>
      <c r="D20" s="12">
        <f>SUM(D16:D19)</f>
        <v>220</v>
      </c>
    </row>
    <row r="21" spans="2:5" x14ac:dyDescent="0.3">
      <c r="D21" s="8"/>
    </row>
    <row r="23" spans="2:5" x14ac:dyDescent="0.3">
      <c r="B23" t="s">
        <v>9</v>
      </c>
    </row>
    <row r="24" spans="2:5" x14ac:dyDescent="0.3">
      <c r="B24" t="s">
        <v>10</v>
      </c>
    </row>
    <row r="25" spans="2:5" x14ac:dyDescent="0.3">
      <c r="B25" t="s">
        <v>11</v>
      </c>
    </row>
    <row r="26" spans="2:5" x14ac:dyDescent="0.3">
      <c r="B26" t="s">
        <v>12</v>
      </c>
    </row>
    <row r="27" spans="2:5" x14ac:dyDescent="0.3">
      <c r="B27" t="s">
        <v>13</v>
      </c>
    </row>
    <row r="28" spans="2:5" ht="15" thickBot="1" x14ac:dyDescent="0.35"/>
    <row r="29" spans="2:5" ht="15" thickBot="1" x14ac:dyDescent="0.35">
      <c r="B29" s="10" t="s">
        <v>14</v>
      </c>
      <c r="C29" s="13">
        <v>0.6</v>
      </c>
      <c r="D29" s="12">
        <f>D20*0.6</f>
        <v>132</v>
      </c>
      <c r="E29" s="8">
        <f>D29/D11</f>
        <v>0.15538552089464391</v>
      </c>
    </row>
    <row r="30" spans="2:5" ht="15" thickBot="1" x14ac:dyDescent="0.35">
      <c r="B30" s="15" t="s">
        <v>18</v>
      </c>
    </row>
    <row r="31" spans="2:5" ht="15" thickBot="1" x14ac:dyDescent="0.35">
      <c r="B31" s="11"/>
    </row>
    <row r="32" spans="2:5" ht="15" thickBot="1" x14ac:dyDescent="0.35">
      <c r="B32" s="10" t="s">
        <v>15</v>
      </c>
      <c r="C32" s="13">
        <v>0.4</v>
      </c>
      <c r="D32" s="12">
        <f>D20*0.4</f>
        <v>88</v>
      </c>
      <c r="E32" s="8">
        <f>D32/D11</f>
        <v>0.10359034726309593</v>
      </c>
    </row>
    <row r="33" spans="2:2" x14ac:dyDescent="0.3">
      <c r="B33" s="9" t="s">
        <v>19</v>
      </c>
    </row>
    <row r="35" spans="2:2" x14ac:dyDescent="0.3">
      <c r="B35" s="9" t="s">
        <v>20</v>
      </c>
    </row>
    <row r="36" spans="2:2" x14ac:dyDescent="0.3">
      <c r="B36" s="9" t="s">
        <v>21</v>
      </c>
    </row>
    <row r="37" spans="2:2" x14ac:dyDescent="0.3">
      <c r="B37" s="9" t="s">
        <v>22</v>
      </c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A2B8A-25E1-4E6B-8771-971002F7629B}">
  <dimension ref="B2:H21"/>
  <sheetViews>
    <sheetView view="pageBreakPreview" zoomScaleNormal="100" zoomScaleSheetLayoutView="100" workbookViewId="0">
      <selection activeCell="D11" sqref="D11"/>
    </sheetView>
  </sheetViews>
  <sheetFormatPr defaultRowHeight="15" customHeight="1" x14ac:dyDescent="0.3"/>
  <cols>
    <col min="1" max="1" width="3.77734375" style="1" customWidth="1"/>
    <col min="2" max="2" width="23.21875" style="17" bestFit="1" customWidth="1"/>
    <col min="3" max="3" width="6.21875" style="1" bestFit="1" customWidth="1"/>
    <col min="4" max="4" width="7.5546875" style="18" bestFit="1" customWidth="1"/>
    <col min="5" max="5" width="3.77734375" style="1" customWidth="1"/>
    <col min="6" max="6" width="23.21875" style="19" bestFit="1" customWidth="1"/>
    <col min="7" max="7" width="6.21875" style="1" bestFit="1" customWidth="1"/>
    <col min="8" max="8" width="11.33203125" style="1" customWidth="1"/>
    <col min="9" max="16384" width="8.88671875" style="1"/>
  </cols>
  <sheetData>
    <row r="2" spans="2:8" ht="15" customHeight="1" x14ac:dyDescent="0.3">
      <c r="B2" s="33" t="s">
        <v>36</v>
      </c>
      <c r="C2" s="33"/>
      <c r="D2" s="33"/>
      <c r="E2" s="34"/>
      <c r="F2" s="33"/>
      <c r="G2" s="33"/>
      <c r="H2" s="33"/>
    </row>
    <row r="3" spans="2:8" ht="15" customHeight="1" x14ac:dyDescent="0.3">
      <c r="B3" s="27" t="s">
        <v>33</v>
      </c>
      <c r="C3" s="28"/>
      <c r="D3" s="21">
        <v>339</v>
      </c>
      <c r="E3" s="32"/>
      <c r="F3" s="27" t="s">
        <v>33</v>
      </c>
      <c r="G3" s="28"/>
      <c r="H3" s="21">
        <f>D3</f>
        <v>339</v>
      </c>
    </row>
    <row r="4" spans="2:8" ht="15" customHeight="1" thickBot="1" x14ac:dyDescent="0.35">
      <c r="F4" s="17"/>
      <c r="H4" s="18"/>
    </row>
    <row r="5" spans="2:8" ht="15" customHeight="1" x14ac:dyDescent="0.3">
      <c r="B5" s="20" t="s">
        <v>1</v>
      </c>
      <c r="F5" s="20" t="s">
        <v>1</v>
      </c>
      <c r="H5" s="18"/>
    </row>
    <row r="6" spans="2:8" ht="15" customHeight="1" x14ac:dyDescent="0.3">
      <c r="B6" s="3" t="s">
        <v>2</v>
      </c>
      <c r="C6" s="2"/>
      <c r="D6" s="21">
        <v>750</v>
      </c>
      <c r="F6" s="3" t="s">
        <v>2</v>
      </c>
      <c r="G6" s="2"/>
      <c r="H6" s="21">
        <f>H3*750</f>
        <v>254250</v>
      </c>
    </row>
    <row r="7" spans="2:8" ht="15" customHeight="1" x14ac:dyDescent="0.3">
      <c r="B7" s="3" t="s">
        <v>7</v>
      </c>
      <c r="C7" s="22">
        <v>0.2</v>
      </c>
      <c r="D7" s="4">
        <f>D6*0.2</f>
        <v>150</v>
      </c>
      <c r="F7" s="3" t="s">
        <v>7</v>
      </c>
      <c r="G7" s="22">
        <v>0.2</v>
      </c>
      <c r="H7" s="4">
        <f>H6*0.2</f>
        <v>50850</v>
      </c>
    </row>
    <row r="8" spans="2:8" ht="15" customHeight="1" x14ac:dyDescent="0.3">
      <c r="B8" s="3" t="s">
        <v>3</v>
      </c>
      <c r="C8" s="22">
        <v>0.25</v>
      </c>
      <c r="D8" s="4">
        <f>D6*0.25</f>
        <v>187.5</v>
      </c>
      <c r="F8" s="3" t="s">
        <v>3</v>
      </c>
      <c r="G8" s="22">
        <v>0.25</v>
      </c>
      <c r="H8" s="4">
        <f>H6*0.25</f>
        <v>63562.5</v>
      </c>
    </row>
    <row r="9" spans="2:8" ht="15" customHeight="1" x14ac:dyDescent="0.3">
      <c r="B9" s="3" t="s">
        <v>30</v>
      </c>
      <c r="C9" s="22"/>
      <c r="D9" s="4">
        <v>112</v>
      </c>
      <c r="F9" s="3" t="s">
        <v>30</v>
      </c>
      <c r="G9" s="22"/>
      <c r="H9" s="4">
        <v>112</v>
      </c>
    </row>
    <row r="10" spans="2:8" ht="15" customHeight="1" x14ac:dyDescent="0.3">
      <c r="B10" s="3" t="s">
        <v>5</v>
      </c>
      <c r="C10" s="22">
        <v>0.15</v>
      </c>
      <c r="D10" s="4">
        <v>0</v>
      </c>
      <c r="F10" s="3" t="s">
        <v>5</v>
      </c>
      <c r="G10" s="22">
        <v>0.15</v>
      </c>
      <c r="H10" s="4">
        <v>0</v>
      </c>
    </row>
    <row r="11" spans="2:8" ht="15" customHeight="1" thickBot="1" x14ac:dyDescent="0.35">
      <c r="B11" s="23" t="s">
        <v>4</v>
      </c>
      <c r="C11" s="24"/>
      <c r="D11" s="25">
        <f>SUM(D6:D10)</f>
        <v>1199.5</v>
      </c>
      <c r="F11" s="23" t="s">
        <v>4</v>
      </c>
      <c r="G11" s="24"/>
      <c r="H11" s="25">
        <f>SUM(H6:H10)</f>
        <v>368774.5</v>
      </c>
    </row>
    <row r="12" spans="2:8" ht="15" customHeight="1" thickBot="1" x14ac:dyDescent="0.35">
      <c r="D12" s="26"/>
      <c r="F12" s="17"/>
      <c r="H12" s="26"/>
    </row>
    <row r="13" spans="2:8" ht="15" customHeight="1" x14ac:dyDescent="0.3">
      <c r="B13" s="20" t="s">
        <v>34</v>
      </c>
      <c r="F13" s="20" t="s">
        <v>34</v>
      </c>
      <c r="H13" s="18"/>
    </row>
    <row r="14" spans="2:8" ht="15" customHeight="1" x14ac:dyDescent="0.3">
      <c r="B14" s="3" t="s">
        <v>31</v>
      </c>
      <c r="C14" s="22">
        <v>0.15</v>
      </c>
      <c r="D14" s="4">
        <f>D6*0.15</f>
        <v>112.5</v>
      </c>
      <c r="F14" s="3" t="s">
        <v>31</v>
      </c>
      <c r="G14" s="22">
        <v>0.15</v>
      </c>
      <c r="H14" s="4">
        <f>H6*0.15</f>
        <v>38137.5</v>
      </c>
    </row>
    <row r="15" spans="2:8" s="19" customFormat="1" ht="15" customHeight="1" x14ac:dyDescent="0.3">
      <c r="B15" s="3" t="s">
        <v>7</v>
      </c>
      <c r="C15" s="22">
        <v>1</v>
      </c>
      <c r="D15" s="4">
        <f>D7</f>
        <v>150</v>
      </c>
      <c r="E15" s="1"/>
      <c r="F15" s="3" t="s">
        <v>7</v>
      </c>
      <c r="G15" s="22">
        <v>1</v>
      </c>
      <c r="H15" s="4">
        <f>H7</f>
        <v>50850</v>
      </c>
    </row>
    <row r="16" spans="2:8" s="19" customFormat="1" ht="15" customHeight="1" x14ac:dyDescent="0.3">
      <c r="B16" s="3" t="s">
        <v>32</v>
      </c>
      <c r="C16" s="22">
        <v>0.2</v>
      </c>
      <c r="D16" s="4">
        <f>D8*0.2</f>
        <v>37.5</v>
      </c>
      <c r="E16" s="1"/>
      <c r="F16" s="3" t="s">
        <v>32</v>
      </c>
      <c r="G16" s="22">
        <v>0.2</v>
      </c>
      <c r="H16" s="4">
        <f>H8*0.2</f>
        <v>12712.5</v>
      </c>
    </row>
    <row r="17" spans="2:8" s="19" customFormat="1" ht="15" customHeight="1" x14ac:dyDescent="0.3">
      <c r="B17" s="3" t="s">
        <v>30</v>
      </c>
      <c r="C17" s="22"/>
      <c r="D17" s="4">
        <f>D9</f>
        <v>112</v>
      </c>
      <c r="E17" s="1"/>
      <c r="F17" s="3" t="s">
        <v>30</v>
      </c>
      <c r="G17" s="22"/>
      <c r="H17" s="4">
        <f>H9</f>
        <v>112</v>
      </c>
    </row>
    <row r="18" spans="2:8" ht="15" customHeight="1" x14ac:dyDescent="0.3">
      <c r="B18" s="3" t="s">
        <v>5</v>
      </c>
      <c r="C18" s="22">
        <v>0.15</v>
      </c>
      <c r="D18" s="4">
        <f>D10</f>
        <v>0</v>
      </c>
      <c r="F18" s="3" t="s">
        <v>5</v>
      </c>
      <c r="G18" s="22">
        <v>0.15</v>
      </c>
      <c r="H18" s="4">
        <f>H10</f>
        <v>0</v>
      </c>
    </row>
    <row r="19" spans="2:8" s="19" customFormat="1" ht="15" customHeight="1" x14ac:dyDescent="0.3">
      <c r="B19" s="27" t="s">
        <v>8</v>
      </c>
      <c r="C19" s="28"/>
      <c r="D19" s="29">
        <f>SUM(D14:D17)</f>
        <v>412</v>
      </c>
      <c r="E19" s="1"/>
      <c r="F19" s="27" t="s">
        <v>8</v>
      </c>
      <c r="G19" s="28"/>
      <c r="H19" s="29">
        <f>SUM(H14:H17)</f>
        <v>101812</v>
      </c>
    </row>
    <row r="20" spans="2:8" s="19" customFormat="1" ht="15" customHeight="1" x14ac:dyDescent="0.3">
      <c r="B20" s="17"/>
      <c r="C20" s="1"/>
      <c r="D20" s="30"/>
      <c r="E20" s="1"/>
      <c r="F20" s="17"/>
      <c r="G20" s="1"/>
      <c r="H20" s="30"/>
    </row>
    <row r="21" spans="2:8" ht="15" customHeight="1" x14ac:dyDescent="0.3">
      <c r="B21" s="3" t="s">
        <v>35</v>
      </c>
      <c r="C21" s="22">
        <v>1</v>
      </c>
      <c r="D21" s="31">
        <f>D8-D16</f>
        <v>150</v>
      </c>
      <c r="F21" s="3" t="s">
        <v>35</v>
      </c>
      <c r="G21" s="22">
        <v>1</v>
      </c>
      <c r="H21" s="31">
        <f>H8-H16</f>
        <v>50850</v>
      </c>
    </row>
  </sheetData>
  <mergeCells count="1">
    <mergeCell ref="B2:H2"/>
  </mergeCells>
  <pageMargins left="0.7" right="0.7" top="1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55EAA-761D-4935-A75E-6CDBAC681C0B}">
  <dimension ref="B2:H21"/>
  <sheetViews>
    <sheetView view="pageBreakPreview" zoomScaleNormal="100" zoomScaleSheetLayoutView="100" workbookViewId="0">
      <selection activeCell="F24" sqref="F24"/>
    </sheetView>
  </sheetViews>
  <sheetFormatPr defaultRowHeight="15" customHeight="1" x14ac:dyDescent="0.3"/>
  <cols>
    <col min="1" max="1" width="3.77734375" style="1" customWidth="1"/>
    <col min="2" max="2" width="23.21875" style="17" bestFit="1" customWidth="1"/>
    <col min="3" max="3" width="6.21875" style="1" bestFit="1" customWidth="1"/>
    <col min="4" max="4" width="7.5546875" style="18" bestFit="1" customWidth="1"/>
    <col min="5" max="5" width="3.77734375" style="1" customWidth="1"/>
    <col min="6" max="6" width="23.21875" style="19" bestFit="1" customWidth="1"/>
    <col min="7" max="7" width="6.21875" style="1" bestFit="1" customWidth="1"/>
    <col min="8" max="8" width="11.33203125" style="1" customWidth="1"/>
    <col min="9" max="16384" width="8.88671875" style="1"/>
  </cols>
  <sheetData>
    <row r="2" spans="2:8" ht="15" customHeight="1" x14ac:dyDescent="0.3">
      <c r="B2" s="33" t="s">
        <v>37</v>
      </c>
      <c r="C2" s="33"/>
      <c r="D2" s="33"/>
      <c r="E2" s="34"/>
      <c r="F2" s="33"/>
      <c r="G2" s="33"/>
      <c r="H2" s="33"/>
    </row>
    <row r="3" spans="2:8" ht="15" customHeight="1" x14ac:dyDescent="0.3">
      <c r="B3" s="27" t="s">
        <v>33</v>
      </c>
      <c r="C3" s="28"/>
      <c r="D3" s="21">
        <v>386</v>
      </c>
      <c r="E3" s="32"/>
      <c r="F3" s="27" t="s">
        <v>33</v>
      </c>
      <c r="G3" s="28"/>
      <c r="H3" s="21">
        <f>D3</f>
        <v>386</v>
      </c>
    </row>
    <row r="4" spans="2:8" ht="15" customHeight="1" thickBot="1" x14ac:dyDescent="0.35">
      <c r="F4" s="17"/>
      <c r="H4" s="18"/>
    </row>
    <row r="5" spans="2:8" ht="15" customHeight="1" x14ac:dyDescent="0.3">
      <c r="B5" s="20" t="s">
        <v>1</v>
      </c>
      <c r="F5" s="20" t="s">
        <v>1</v>
      </c>
      <c r="H5" s="18"/>
    </row>
    <row r="6" spans="2:8" ht="15" customHeight="1" x14ac:dyDescent="0.3">
      <c r="B6" s="3" t="s">
        <v>2</v>
      </c>
      <c r="C6" s="2"/>
      <c r="D6" s="21">
        <v>750</v>
      </c>
      <c r="F6" s="3" t="s">
        <v>2</v>
      </c>
      <c r="G6" s="2"/>
      <c r="H6" s="21">
        <f>H3*750</f>
        <v>289500</v>
      </c>
    </row>
    <row r="7" spans="2:8" ht="15" customHeight="1" x14ac:dyDescent="0.3">
      <c r="B7" s="3" t="s">
        <v>7</v>
      </c>
      <c r="C7" s="22">
        <v>0.2</v>
      </c>
      <c r="D7" s="4">
        <f>D6*0.2</f>
        <v>150</v>
      </c>
      <c r="F7" s="3" t="s">
        <v>7</v>
      </c>
      <c r="G7" s="22">
        <v>0.2</v>
      </c>
      <c r="H7" s="4">
        <f>H6*0.2</f>
        <v>57900</v>
      </c>
    </row>
    <row r="8" spans="2:8" ht="15" customHeight="1" x14ac:dyDescent="0.3">
      <c r="B8" s="3" t="s">
        <v>3</v>
      </c>
      <c r="C8" s="22">
        <v>0.25</v>
      </c>
      <c r="D8" s="4">
        <f>D6*0.25</f>
        <v>187.5</v>
      </c>
      <c r="F8" s="3" t="s">
        <v>3</v>
      </c>
      <c r="G8" s="22">
        <v>0.25</v>
      </c>
      <c r="H8" s="4">
        <f>H6*0.25</f>
        <v>72375</v>
      </c>
    </row>
    <row r="9" spans="2:8" ht="15" customHeight="1" x14ac:dyDescent="0.3">
      <c r="B9" s="3" t="s">
        <v>30</v>
      </c>
      <c r="C9" s="22"/>
      <c r="D9" s="4">
        <v>112</v>
      </c>
      <c r="F9" s="3" t="s">
        <v>30</v>
      </c>
      <c r="G9" s="22"/>
      <c r="H9" s="4">
        <v>112</v>
      </c>
    </row>
    <row r="10" spans="2:8" ht="15" customHeight="1" x14ac:dyDescent="0.3">
      <c r="B10" s="3" t="s">
        <v>5</v>
      </c>
      <c r="C10" s="22">
        <v>0.15</v>
      </c>
      <c r="D10" s="4">
        <v>0</v>
      </c>
      <c r="F10" s="3" t="s">
        <v>5</v>
      </c>
      <c r="G10" s="22">
        <v>0.15</v>
      </c>
      <c r="H10" s="4">
        <v>0</v>
      </c>
    </row>
    <row r="11" spans="2:8" ht="15" customHeight="1" thickBot="1" x14ac:dyDescent="0.35">
      <c r="B11" s="23" t="s">
        <v>4</v>
      </c>
      <c r="C11" s="24"/>
      <c r="D11" s="25">
        <f>SUM(D6:D10)</f>
        <v>1199.5</v>
      </c>
      <c r="F11" s="23" t="s">
        <v>4</v>
      </c>
      <c r="G11" s="24"/>
      <c r="H11" s="25">
        <f>SUM(H6:H10)</f>
        <v>419887</v>
      </c>
    </row>
    <row r="12" spans="2:8" ht="15" customHeight="1" thickBot="1" x14ac:dyDescent="0.35">
      <c r="D12" s="26"/>
      <c r="F12" s="17"/>
      <c r="H12" s="26"/>
    </row>
    <row r="13" spans="2:8" ht="15" customHeight="1" x14ac:dyDescent="0.3">
      <c r="B13" s="20" t="s">
        <v>34</v>
      </c>
      <c r="F13" s="20" t="s">
        <v>34</v>
      </c>
      <c r="H13" s="18"/>
    </row>
    <row r="14" spans="2:8" ht="15" customHeight="1" x14ac:dyDescent="0.3">
      <c r="B14" s="3" t="s">
        <v>31</v>
      </c>
      <c r="C14" s="22">
        <v>0.15</v>
      </c>
      <c r="D14" s="4">
        <f>D6*0.15</f>
        <v>112.5</v>
      </c>
      <c r="F14" s="3" t="s">
        <v>31</v>
      </c>
      <c r="G14" s="22">
        <v>0.15</v>
      </c>
      <c r="H14" s="4">
        <f>H6*0.15</f>
        <v>43425</v>
      </c>
    </row>
    <row r="15" spans="2:8" s="19" customFormat="1" ht="15" customHeight="1" x14ac:dyDescent="0.3">
      <c r="B15" s="3" t="s">
        <v>7</v>
      </c>
      <c r="C15" s="22">
        <v>1</v>
      </c>
      <c r="D15" s="4">
        <f>D7</f>
        <v>150</v>
      </c>
      <c r="E15" s="1"/>
      <c r="F15" s="3" t="s">
        <v>7</v>
      </c>
      <c r="G15" s="22">
        <v>1</v>
      </c>
      <c r="H15" s="4">
        <f>H7</f>
        <v>57900</v>
      </c>
    </row>
    <row r="16" spans="2:8" s="19" customFormat="1" ht="15" customHeight="1" x14ac:dyDescent="0.3">
      <c r="B16" s="3" t="s">
        <v>32</v>
      </c>
      <c r="C16" s="22">
        <v>0.2</v>
      </c>
      <c r="D16" s="4">
        <f>D8*0.2</f>
        <v>37.5</v>
      </c>
      <c r="E16" s="1"/>
      <c r="F16" s="3" t="s">
        <v>32</v>
      </c>
      <c r="G16" s="22">
        <v>0.2</v>
      </c>
      <c r="H16" s="4">
        <f>H8*0.2</f>
        <v>14475</v>
      </c>
    </row>
    <row r="17" spans="2:8" s="19" customFormat="1" ht="15" customHeight="1" x14ac:dyDescent="0.3">
      <c r="B17" s="3" t="s">
        <v>30</v>
      </c>
      <c r="C17" s="22"/>
      <c r="D17" s="4">
        <f>D9</f>
        <v>112</v>
      </c>
      <c r="E17" s="1"/>
      <c r="F17" s="3" t="s">
        <v>30</v>
      </c>
      <c r="G17" s="22"/>
      <c r="H17" s="4">
        <f>H9</f>
        <v>112</v>
      </c>
    </row>
    <row r="18" spans="2:8" ht="15" customHeight="1" x14ac:dyDescent="0.3">
      <c r="B18" s="3" t="s">
        <v>5</v>
      </c>
      <c r="C18" s="22">
        <v>0.15</v>
      </c>
      <c r="D18" s="4">
        <f>D10</f>
        <v>0</v>
      </c>
      <c r="F18" s="3" t="s">
        <v>5</v>
      </c>
      <c r="G18" s="22">
        <v>0.15</v>
      </c>
      <c r="H18" s="4">
        <f>H10</f>
        <v>0</v>
      </c>
    </row>
    <row r="19" spans="2:8" s="19" customFormat="1" ht="15" customHeight="1" x14ac:dyDescent="0.3">
      <c r="B19" s="27" t="s">
        <v>8</v>
      </c>
      <c r="C19" s="28"/>
      <c r="D19" s="29">
        <f>SUM(D14:D17)</f>
        <v>412</v>
      </c>
      <c r="E19" s="1"/>
      <c r="F19" s="27" t="s">
        <v>8</v>
      </c>
      <c r="G19" s="28"/>
      <c r="H19" s="29">
        <f>SUM(H14:H17)</f>
        <v>115912</v>
      </c>
    </row>
    <row r="20" spans="2:8" s="19" customFormat="1" ht="15" customHeight="1" x14ac:dyDescent="0.3">
      <c r="B20" s="17"/>
      <c r="C20" s="1"/>
      <c r="D20" s="30"/>
      <c r="E20" s="1"/>
      <c r="F20" s="17"/>
      <c r="G20" s="1"/>
      <c r="H20" s="30"/>
    </row>
    <row r="21" spans="2:8" ht="15" customHeight="1" x14ac:dyDescent="0.3">
      <c r="B21" s="3" t="s">
        <v>35</v>
      </c>
      <c r="C21" s="22">
        <v>0.8</v>
      </c>
      <c r="D21" s="31">
        <f>D8-D16</f>
        <v>150</v>
      </c>
      <c r="F21" s="3" t="s">
        <v>35</v>
      </c>
      <c r="G21" s="22">
        <v>0.8</v>
      </c>
      <c r="H21" s="31">
        <f>H8-H16</f>
        <v>57900</v>
      </c>
    </row>
  </sheetData>
  <mergeCells count="1">
    <mergeCell ref="B2:H2"/>
  </mergeCells>
  <pageMargins left="0.7" right="0.7" top="1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Sheet2</vt:lpstr>
      <vt:lpstr>Alpha Force</vt:lpstr>
      <vt:lpstr>Prime Shine</vt:lpstr>
      <vt:lpstr>'Alpha Force'!Print_Area</vt:lpstr>
      <vt:lpstr>'Prime Shine'!Print_Area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Labaid</dc:creator>
  <cp:lastModifiedBy>Labaid</cp:lastModifiedBy>
  <cp:lastPrinted>2025-12-17T04:59:43Z</cp:lastPrinted>
  <dcterms:created xsi:type="dcterms:W3CDTF">2025-12-17T04:17:32Z</dcterms:created>
  <dcterms:modified xsi:type="dcterms:W3CDTF">2026-03-07T05:37:21Z</dcterms:modified>
</cp:coreProperties>
</file>